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2"/>
  <workbookPr/>
  <mc:AlternateContent xmlns:mc="http://schemas.openxmlformats.org/markup-compatibility/2006">
    <mc:Choice Requires="x15">
      <x15ac:absPath xmlns:x15ac="http://schemas.microsoft.com/office/spreadsheetml/2010/11/ac" url="D:\tareas\2026 SEPTIMO SEMESTRE\GESTION DE PROYECTOS DE TI\PROYECTO\"/>
    </mc:Choice>
  </mc:AlternateContent>
  <xr:revisionPtr revIDLastSave="0" documentId="13_ncr:1_{8DEB0535-08EF-42DD-8CE3-BFF88864161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randon" sheetId="1" r:id="rId1"/>
    <sheet name="Josefina" sheetId="2" r:id="rId2"/>
    <sheet name="Roberto" sheetId="3" r:id="rId3"/>
  </sheets>
  <calcPr calcId="191029"/>
</workbook>
</file>

<file path=xl/calcChain.xml><?xml version="1.0" encoding="utf-8"?>
<calcChain xmlns="http://schemas.openxmlformats.org/spreadsheetml/2006/main">
  <c r="D13" i="2" l="1"/>
  <c r="H13" i="2" s="1"/>
  <c r="G12" i="3"/>
  <c r="F12" i="3"/>
  <c r="D12" i="3"/>
  <c r="H12" i="3" s="1"/>
  <c r="G11" i="3"/>
  <c r="F11" i="3"/>
  <c r="D11" i="3"/>
  <c r="H11" i="3" s="1"/>
  <c r="G10" i="3"/>
  <c r="F10" i="3"/>
  <c r="D10" i="3"/>
  <c r="H10" i="3" s="1"/>
  <c r="G9" i="3"/>
  <c r="F9" i="3"/>
  <c r="D9" i="3"/>
  <c r="H9" i="3" s="1"/>
  <c r="G8" i="3"/>
  <c r="F8" i="3"/>
  <c r="D8" i="3"/>
  <c r="H8" i="3" s="1"/>
  <c r="H7" i="3"/>
  <c r="G7" i="3"/>
  <c r="F7" i="3"/>
  <c r="D7" i="3"/>
  <c r="G6" i="3"/>
  <c r="F6" i="3"/>
  <c r="D6" i="3"/>
  <c r="H6" i="3" s="1"/>
  <c r="G13" i="2"/>
  <c r="F13" i="2"/>
  <c r="G12" i="2"/>
  <c r="F12" i="2"/>
  <c r="D12" i="2"/>
  <c r="H12" i="2" s="1"/>
  <c r="G11" i="2"/>
  <c r="F11" i="2"/>
  <c r="D11" i="2"/>
  <c r="H11" i="2" s="1"/>
  <c r="G10" i="2"/>
  <c r="F10" i="2"/>
  <c r="D10" i="2"/>
  <c r="H10" i="2" s="1"/>
  <c r="H9" i="2"/>
  <c r="G9" i="2"/>
  <c r="F9" i="2"/>
  <c r="D9" i="2"/>
  <c r="G8" i="2"/>
  <c r="F8" i="2"/>
  <c r="D8" i="2"/>
  <c r="H8" i="2" s="1"/>
  <c r="G7" i="2"/>
  <c r="F7" i="2"/>
  <c r="D7" i="2"/>
  <c r="H7" i="2" s="1"/>
  <c r="G6" i="2"/>
  <c r="F6" i="2"/>
  <c r="D6" i="2"/>
  <c r="H6" i="2" s="1"/>
  <c r="G13" i="1"/>
  <c r="F13" i="1"/>
  <c r="D13" i="1"/>
  <c r="H13" i="1" s="1"/>
  <c r="G12" i="1"/>
  <c r="F12" i="1"/>
  <c r="D12" i="1"/>
  <c r="H12" i="1" s="1"/>
  <c r="G11" i="1"/>
  <c r="F11" i="1"/>
  <c r="D11" i="1"/>
  <c r="H11" i="1" s="1"/>
  <c r="G10" i="1"/>
  <c r="F10" i="1"/>
  <c r="D10" i="1"/>
  <c r="H10" i="1" s="1"/>
  <c r="G9" i="1"/>
  <c r="F9" i="1"/>
  <c r="D9" i="1"/>
  <c r="H9" i="1" s="1"/>
  <c r="G8" i="1"/>
  <c r="F8" i="1"/>
  <c r="D8" i="1"/>
  <c r="H8" i="1" s="1"/>
  <c r="G7" i="1"/>
  <c r="F7" i="1"/>
  <c r="D7" i="1"/>
  <c r="H7" i="1" s="1"/>
  <c r="G6" i="1"/>
  <c r="F6" i="1"/>
  <c r="D6" i="1"/>
  <c r="H6" i="1" s="1"/>
</calcChain>
</file>

<file path=xl/sharedStrings.xml><?xml version="1.0" encoding="utf-8"?>
<sst xmlns="http://schemas.openxmlformats.org/spreadsheetml/2006/main" count="50" uniqueCount="34">
  <si>
    <t>Cronograma y diagrama de Gantt — Brandon</t>
  </si>
  <si>
    <t>Actividad</t>
  </si>
  <si>
    <t>Fecha de inicio</t>
  </si>
  <si>
    <t>Fecha final</t>
  </si>
  <si>
    <t>Duración (días)</t>
  </si>
  <si>
    <t>Inicio relativo</t>
  </si>
  <si>
    <t>Duración</t>
  </si>
  <si>
    <t>Modelo conceptual</t>
  </si>
  <si>
    <t>Diseño Java</t>
  </si>
  <si>
    <t>Aplicación Java inicial</t>
  </si>
  <si>
    <t>Depuración Java y base</t>
  </si>
  <si>
    <t>Simulación en Python</t>
  </si>
  <si>
    <t>Dos escenarios</t>
  </si>
  <si>
    <t>Análisis y gráficas en R</t>
  </si>
  <si>
    <t>Reporte final</t>
  </si>
  <si>
    <t>Cronograma y diagrama de Gantt — Josefina</t>
  </si>
  <si>
    <t>Parámetros del proceso</t>
  </si>
  <si>
    <t>Herramienta de simulación</t>
  </si>
  <si>
    <t>Diagrama y recursos</t>
  </si>
  <si>
    <t>Modelo inicial</t>
  </si>
  <si>
    <t>Modelo funcional y pruebas</t>
  </si>
  <si>
    <t>Escenario base</t>
  </si>
  <si>
    <t>Segundo escenario</t>
  </si>
  <si>
    <t>Análisis y reporte</t>
  </si>
  <si>
    <t>Cronograma y diagrama de Gantt — Roberto</t>
  </si>
  <si>
    <t>Diagrama y distribuciones</t>
  </si>
  <si>
    <t>Modelo lógico y herramienta</t>
  </si>
  <si>
    <t>Implementación inicial</t>
  </si>
  <si>
    <t>Implementación completa</t>
  </si>
  <si>
    <t>Pruebas piloto</t>
  </si>
  <si>
    <t>Corridas y escenario alternativo</t>
  </si>
  <si>
    <t>Análisis y reporte final</t>
  </si>
  <si>
    <t xml:space="preserve"> Planificación de proyectos</t>
  </si>
  <si>
    <t>Planificación de 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</si>
</sst>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i/>
      <sz val="10"/>
      <color rgb="FF5B6573"/>
      <name val="Arial"/>
    </font>
    <font>
      <b/>
      <sz val="10"/>
      <color rgb="FFFFFFFF"/>
      <name val="Arial"/>
    </font>
    <font>
      <sz val="10"/>
      <color rgb="FF1F2937"/>
      <name val="Arial"/>
    </font>
    <font>
      <sz val="9"/>
      <name val="Arial"/>
    </font>
    <font>
      <i/>
      <sz val="9"/>
      <color rgb="FF5B6573"/>
      <name val="Arial"/>
    </font>
    <font>
      <b/>
      <sz val="15"/>
      <name val="Arial"/>
      <family val="2"/>
    </font>
    <font>
      <i/>
      <sz val="10"/>
      <color rgb="FF5B657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vertical="center"/>
    </xf>
    <xf numFmtId="1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0" xfId="0" applyFont="1"/>
    <xf numFmtId="1" fontId="4" fillId="0" borderId="0" xfId="0" applyNumberFormat="1" applyFont="1"/>
    <xf numFmtId="0" fontId="2" fillId="2" borderId="3" xfId="0" applyFont="1" applyFill="1" applyBorder="1" applyAlignment="1">
      <alignment horizontal="center" vertical="center"/>
    </xf>
    <xf numFmtId="0" fontId="6" fillId="0" borderId="0" xfId="0" applyFont="1"/>
    <xf numFmtId="0" fontId="0" fillId="0" borderId="0" xfId="0"/>
    <xf numFmtId="0" fontId="7" fillId="0" borderId="0" xfId="0" applyFont="1"/>
    <xf numFmtId="0" fontId="5" fillId="0" borderId="0" xfId="0" applyFont="1"/>
    <xf numFmtId="0" fontId="1" fillId="0" borderId="0" xfId="0" applyFont="1"/>
    <xf numFmtId="0" fontId="5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1050">
                <a:latin typeface="Arial"/>
                <a:ea typeface="Arial"/>
                <a:cs typeface="Arial"/>
              </a:rPr>
              <a:t>Diagrama de Gantt — Brandon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Inicio relativo</c:v>
          </c:tx>
          <c:spPr>
            <a:solidFill>
              <a:srgbClr val="FFFFFF"/>
            </a:solidFill>
          </c:spPr>
          <c:invertIfNegative val="1"/>
          <c:cat>
            <c:strRef>
              <c:f>Brandon!$F$6:$F$13</c:f>
              <c:strCache>
                <c:ptCount val="8"/>
                <c:pt idx="0">
                  <c:v>Modelo conceptual</c:v>
                </c:pt>
                <c:pt idx="1">
                  <c:v>Diseño Java</c:v>
                </c:pt>
                <c:pt idx="2">
                  <c:v>Aplicación Java inicial</c:v>
                </c:pt>
                <c:pt idx="3">
                  <c:v>Depuración Java y base</c:v>
                </c:pt>
                <c:pt idx="4">
                  <c:v>Simulación en Python</c:v>
                </c:pt>
                <c:pt idx="5">
                  <c:v>Dos escenarios</c:v>
                </c:pt>
                <c:pt idx="6">
                  <c:v>Análisis y gráficas en R</c:v>
                </c:pt>
                <c:pt idx="7">
                  <c:v>Reporte final</c:v>
                </c:pt>
              </c:strCache>
            </c:strRef>
          </c:cat>
          <c:val>
            <c:numRef>
              <c:f>Brandon!$G$6:$G$13</c:f>
              <c:numCache>
                <c:formatCode>0</c:formatCode>
                <c:ptCount val="8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  <c:pt idx="7">
                  <c:v>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B89-4FFD-A781-66FFBD64A97C}"/>
            </c:ext>
          </c:extLst>
        </c:ser>
        <c:ser>
          <c:idx val="1"/>
          <c:order val="1"/>
          <c:tx>
            <c:v>Duración</c:v>
          </c:tx>
          <c:spPr>
            <a:solidFill>
              <a:srgbClr val="4472C4"/>
            </a:solidFill>
          </c:spPr>
          <c:invertIfNegative val="1"/>
          <c:cat>
            <c:strRef>
              <c:f>Brandon!$F$6:$F$13</c:f>
              <c:strCache>
                <c:ptCount val="8"/>
                <c:pt idx="0">
                  <c:v>Modelo conceptual</c:v>
                </c:pt>
                <c:pt idx="1">
                  <c:v>Diseño Java</c:v>
                </c:pt>
                <c:pt idx="2">
                  <c:v>Aplicación Java inicial</c:v>
                </c:pt>
                <c:pt idx="3">
                  <c:v>Depuración Java y base</c:v>
                </c:pt>
                <c:pt idx="4">
                  <c:v>Simulación en Python</c:v>
                </c:pt>
                <c:pt idx="5">
                  <c:v>Dos escenarios</c:v>
                </c:pt>
                <c:pt idx="6">
                  <c:v>Análisis y gráficas en R</c:v>
                </c:pt>
                <c:pt idx="7">
                  <c:v>Reporte final</c:v>
                </c:pt>
              </c:strCache>
            </c:strRef>
          </c:cat>
          <c:val>
            <c:numRef>
              <c:f>Brandon!$H$6:$H$13</c:f>
              <c:numCache>
                <c:formatCode>0</c:formatCode>
                <c:ptCount val="8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DB89-4FFD-A781-66FFBD64A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1050">
                <a:latin typeface="Arial"/>
                <a:ea typeface="Arial"/>
                <a:cs typeface="Arial"/>
              </a:rPr>
              <a:t>Diagrama de Gantt — Josefina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Inicio relativo</c:v>
          </c:tx>
          <c:spPr>
            <a:solidFill>
              <a:srgbClr val="FFFFFF"/>
            </a:solidFill>
          </c:spPr>
          <c:invertIfNegative val="1"/>
          <c:cat>
            <c:strRef>
              <c:f>Josefina!$F$6:$F$13</c:f>
              <c:strCache>
                <c:ptCount val="8"/>
                <c:pt idx="0">
                  <c:v>Parámetros del proceso</c:v>
                </c:pt>
                <c:pt idx="1">
                  <c:v>Herramienta de simulación</c:v>
                </c:pt>
                <c:pt idx="2">
                  <c:v>Diagrama y recursos</c:v>
                </c:pt>
                <c:pt idx="3">
                  <c:v>Modelo inicial</c:v>
                </c:pt>
                <c:pt idx="4">
                  <c:v>Modelo funcional y pruebas</c:v>
                </c:pt>
                <c:pt idx="5">
                  <c:v>Escenario base</c:v>
                </c:pt>
                <c:pt idx="6">
                  <c:v>Segundo escenario</c:v>
                </c:pt>
                <c:pt idx="7">
                  <c:v>Análisis y reporte</c:v>
                </c:pt>
              </c:strCache>
            </c:strRef>
          </c:cat>
          <c:val>
            <c:numRef>
              <c:f>Josefina!$G$6:$G$13</c:f>
              <c:numCache>
                <c:formatCode>0</c:formatCode>
                <c:ptCount val="8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  <c:pt idx="7">
                  <c:v>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5419-408A-A5B3-3F9AABC957DF}"/>
            </c:ext>
          </c:extLst>
        </c:ser>
        <c:ser>
          <c:idx val="1"/>
          <c:order val="1"/>
          <c:tx>
            <c:v>Duración</c:v>
          </c:tx>
          <c:spPr>
            <a:solidFill>
              <a:srgbClr val="4472C4"/>
            </a:solidFill>
          </c:spPr>
          <c:invertIfNegative val="1"/>
          <c:cat>
            <c:strRef>
              <c:f>Josefina!$F$6:$F$13</c:f>
              <c:strCache>
                <c:ptCount val="8"/>
                <c:pt idx="0">
                  <c:v>Parámetros del proceso</c:v>
                </c:pt>
                <c:pt idx="1">
                  <c:v>Herramienta de simulación</c:v>
                </c:pt>
                <c:pt idx="2">
                  <c:v>Diagrama y recursos</c:v>
                </c:pt>
                <c:pt idx="3">
                  <c:v>Modelo inicial</c:v>
                </c:pt>
                <c:pt idx="4">
                  <c:v>Modelo funcional y pruebas</c:v>
                </c:pt>
                <c:pt idx="5">
                  <c:v>Escenario base</c:v>
                </c:pt>
                <c:pt idx="6">
                  <c:v>Segundo escenario</c:v>
                </c:pt>
                <c:pt idx="7">
                  <c:v>Análisis y reporte</c:v>
                </c:pt>
              </c:strCache>
            </c:strRef>
          </c:cat>
          <c:val>
            <c:numRef>
              <c:f>Josefina!$H$6:$H$13</c:f>
              <c:numCache>
                <c:formatCode>0</c:formatCode>
                <c:ptCount val="8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5419-408A-A5B3-3F9AABC95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1050">
                <a:latin typeface="Arial"/>
                <a:ea typeface="Arial"/>
                <a:cs typeface="Arial"/>
              </a:rPr>
              <a:t>Diagrama de Gantt — Roberto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Inicio relativo</c:v>
          </c:tx>
          <c:spPr>
            <a:solidFill>
              <a:srgbClr val="FFFFFF"/>
            </a:solidFill>
          </c:spPr>
          <c:invertIfNegative val="1"/>
          <c:cat>
            <c:strRef>
              <c:f>Roberto!$F$6:$F$12</c:f>
              <c:strCache>
                <c:ptCount val="7"/>
                <c:pt idx="0">
                  <c:v>Diagrama y distribuciones</c:v>
                </c:pt>
                <c:pt idx="1">
                  <c:v>Modelo lógico y herramienta</c:v>
                </c:pt>
                <c:pt idx="2">
                  <c:v>Implementación inicial</c:v>
                </c:pt>
                <c:pt idx="3">
                  <c:v>Implementación completa</c:v>
                </c:pt>
                <c:pt idx="4">
                  <c:v>Pruebas piloto</c:v>
                </c:pt>
                <c:pt idx="5">
                  <c:v>Corridas y escenario alternativo</c:v>
                </c:pt>
                <c:pt idx="6">
                  <c:v>Análisis y reporte final</c:v>
                </c:pt>
              </c:strCache>
            </c:strRef>
          </c:cat>
          <c:val>
            <c:numRef>
              <c:f>Roberto!$G$6:$G$12</c:f>
              <c:numCache>
                <c:formatCode>0</c:formatCode>
                <c:ptCount val="7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ED4-41F2-97E9-64783290A3D9}"/>
            </c:ext>
          </c:extLst>
        </c:ser>
        <c:ser>
          <c:idx val="1"/>
          <c:order val="1"/>
          <c:tx>
            <c:v>Duración</c:v>
          </c:tx>
          <c:spPr>
            <a:solidFill>
              <a:srgbClr val="4472C4"/>
            </a:solidFill>
          </c:spPr>
          <c:invertIfNegative val="1"/>
          <c:cat>
            <c:strRef>
              <c:f>Roberto!$F$6:$F$12</c:f>
              <c:strCache>
                <c:ptCount val="7"/>
                <c:pt idx="0">
                  <c:v>Diagrama y distribuciones</c:v>
                </c:pt>
                <c:pt idx="1">
                  <c:v>Modelo lógico y herramienta</c:v>
                </c:pt>
                <c:pt idx="2">
                  <c:v>Implementación inicial</c:v>
                </c:pt>
                <c:pt idx="3">
                  <c:v>Implementación completa</c:v>
                </c:pt>
                <c:pt idx="4">
                  <c:v>Pruebas piloto</c:v>
                </c:pt>
                <c:pt idx="5">
                  <c:v>Corridas y escenario alternativo</c:v>
                </c:pt>
                <c:pt idx="6">
                  <c:v>Análisis y reporte final</c:v>
                </c:pt>
              </c:strCache>
            </c:strRef>
          </c:cat>
          <c:val>
            <c:numRef>
              <c:f>Roberto!$H$6:$H$12</c:f>
              <c:numCache>
                <c:formatCode>0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2ED4-41F2-97E9-64783290A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2:H16"/>
  <sheetViews>
    <sheetView showGridLines="0" zoomScale="76" zoomScaleNormal="76" workbookViewId="0">
      <selection activeCell="D24" sqref="D24"/>
    </sheetView>
  </sheetViews>
  <sheetFormatPr baseColWidth="10" defaultColWidth="8.796875" defaultRowHeight="13.8"/>
  <cols>
    <col min="1" max="1" width="33" customWidth="1"/>
    <col min="2" max="4" width="16" customWidth="1"/>
    <col min="6" max="6" width="33" customWidth="1"/>
    <col min="7" max="8" width="14" customWidth="1"/>
  </cols>
  <sheetData>
    <row r="2" spans="1:8" ht="19.2">
      <c r="A2" s="8" t="s">
        <v>0</v>
      </c>
      <c r="B2" s="9"/>
      <c r="C2" s="9"/>
      <c r="D2" s="9"/>
    </row>
    <row r="3" spans="1:8">
      <c r="A3" s="12" t="s">
        <v>33</v>
      </c>
      <c r="B3" s="9"/>
      <c r="C3" s="9"/>
      <c r="D3" s="9"/>
    </row>
    <row r="5" spans="1:8">
      <c r="A5" s="1" t="s">
        <v>1</v>
      </c>
      <c r="B5" s="1" t="s">
        <v>2</v>
      </c>
      <c r="C5" s="1" t="s">
        <v>3</v>
      </c>
      <c r="D5" s="1" t="s">
        <v>4</v>
      </c>
      <c r="F5" s="5" t="s">
        <v>1</v>
      </c>
      <c r="G5" s="5" t="s">
        <v>5</v>
      </c>
      <c r="H5" s="5" t="s">
        <v>6</v>
      </c>
    </row>
    <row r="6" spans="1:8" ht="27" customHeight="1">
      <c r="A6" s="4" t="s">
        <v>7</v>
      </c>
      <c r="B6" s="2">
        <v>46251</v>
      </c>
      <c r="C6" s="2">
        <v>46257</v>
      </c>
      <c r="D6" s="3">
        <f t="shared" ref="D6:D13" si="0">C6-B6+1</f>
        <v>7</v>
      </c>
      <c r="F6" s="5" t="str">
        <f t="shared" ref="F6:F13" si="1">A6</f>
        <v>Modelo conceptual</v>
      </c>
      <c r="G6" s="6">
        <f t="shared" ref="G6:G13" si="2">B6-MIN($B$6:$B$13)</f>
        <v>0</v>
      </c>
      <c r="H6" s="6">
        <f t="shared" ref="H6:H13" si="3">D6</f>
        <v>7</v>
      </c>
    </row>
    <row r="7" spans="1:8" ht="27" customHeight="1">
      <c r="A7" s="4" t="s">
        <v>8</v>
      </c>
      <c r="B7" s="2">
        <v>46258</v>
      </c>
      <c r="C7" s="2">
        <v>46264</v>
      </c>
      <c r="D7" s="3">
        <f t="shared" si="0"/>
        <v>7</v>
      </c>
      <c r="F7" s="5" t="str">
        <f t="shared" si="1"/>
        <v>Diseño Java</v>
      </c>
      <c r="G7" s="6">
        <f t="shared" si="2"/>
        <v>7</v>
      </c>
      <c r="H7" s="6">
        <f t="shared" si="3"/>
        <v>7</v>
      </c>
    </row>
    <row r="8" spans="1:8" ht="27" customHeight="1">
      <c r="A8" s="4" t="s">
        <v>9</v>
      </c>
      <c r="B8" s="2">
        <v>46265</v>
      </c>
      <c r="C8" s="2">
        <v>46271</v>
      </c>
      <c r="D8" s="3">
        <f t="shared" si="0"/>
        <v>7</v>
      </c>
      <c r="F8" s="5" t="str">
        <f t="shared" si="1"/>
        <v>Aplicación Java inicial</v>
      </c>
      <c r="G8" s="6">
        <f t="shared" si="2"/>
        <v>14</v>
      </c>
      <c r="H8" s="6">
        <f t="shared" si="3"/>
        <v>7</v>
      </c>
    </row>
    <row r="9" spans="1:8" ht="27" customHeight="1">
      <c r="A9" s="4" t="s">
        <v>10</v>
      </c>
      <c r="B9" s="2">
        <v>46272</v>
      </c>
      <c r="C9" s="2">
        <v>46278</v>
      </c>
      <c r="D9" s="3">
        <f t="shared" si="0"/>
        <v>7</v>
      </c>
      <c r="F9" s="5" t="str">
        <f t="shared" si="1"/>
        <v>Depuración Java y base</v>
      </c>
      <c r="G9" s="6">
        <f t="shared" si="2"/>
        <v>21</v>
      </c>
      <c r="H9" s="6">
        <f t="shared" si="3"/>
        <v>7</v>
      </c>
    </row>
    <row r="10" spans="1:8" ht="27" customHeight="1">
      <c r="A10" s="4" t="s">
        <v>11</v>
      </c>
      <c r="B10" s="2">
        <v>46279</v>
      </c>
      <c r="C10" s="2">
        <v>46285</v>
      </c>
      <c r="D10" s="3">
        <f t="shared" si="0"/>
        <v>7</v>
      </c>
      <c r="F10" s="5" t="str">
        <f t="shared" si="1"/>
        <v>Simulación en Python</v>
      </c>
      <c r="G10" s="6">
        <f t="shared" si="2"/>
        <v>28</v>
      </c>
      <c r="H10" s="6">
        <f t="shared" si="3"/>
        <v>7</v>
      </c>
    </row>
    <row r="11" spans="1:8" ht="27" customHeight="1">
      <c r="A11" s="4" t="s">
        <v>12</v>
      </c>
      <c r="B11" s="2">
        <v>46286</v>
      </c>
      <c r="C11" s="2">
        <v>46292</v>
      </c>
      <c r="D11" s="3">
        <f t="shared" si="0"/>
        <v>7</v>
      </c>
      <c r="F11" s="5" t="str">
        <f t="shared" si="1"/>
        <v>Dos escenarios</v>
      </c>
      <c r="G11" s="6">
        <f t="shared" si="2"/>
        <v>35</v>
      </c>
      <c r="H11" s="6">
        <f t="shared" si="3"/>
        <v>7</v>
      </c>
    </row>
    <row r="12" spans="1:8" ht="27" customHeight="1">
      <c r="A12" s="4" t="s">
        <v>13</v>
      </c>
      <c r="B12" s="2">
        <v>46293</v>
      </c>
      <c r="C12" s="2">
        <v>46299</v>
      </c>
      <c r="D12" s="3">
        <f t="shared" si="0"/>
        <v>7</v>
      </c>
      <c r="F12" s="5" t="str">
        <f t="shared" si="1"/>
        <v>Análisis y gráficas en R</v>
      </c>
      <c r="G12" s="6">
        <f t="shared" si="2"/>
        <v>42</v>
      </c>
      <c r="H12" s="6">
        <f t="shared" si="3"/>
        <v>7</v>
      </c>
    </row>
    <row r="13" spans="1:8" ht="27" customHeight="1">
      <c r="A13" s="4" t="s">
        <v>14</v>
      </c>
      <c r="B13" s="2">
        <v>46300</v>
      </c>
      <c r="C13" s="2">
        <v>46306</v>
      </c>
      <c r="D13" s="3">
        <f t="shared" si="0"/>
        <v>7</v>
      </c>
      <c r="F13" s="5" t="str">
        <f t="shared" si="1"/>
        <v>Reporte final</v>
      </c>
      <c r="G13" s="6">
        <f t="shared" si="2"/>
        <v>49</v>
      </c>
      <c r="H13" s="6">
        <f t="shared" si="3"/>
        <v>7</v>
      </c>
    </row>
    <row r="16" spans="1:8">
      <c r="A16" s="11"/>
      <c r="B16" s="9"/>
      <c r="C16" s="9"/>
      <c r="D16" s="9"/>
    </row>
  </sheetData>
  <mergeCells count="3">
    <mergeCell ref="A2:D2"/>
    <mergeCell ref="A3:D3"/>
    <mergeCell ref="A16:D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2:H16"/>
  <sheetViews>
    <sheetView showGridLines="0" zoomScale="75" workbookViewId="0">
      <selection activeCell="D19" sqref="D19"/>
    </sheetView>
  </sheetViews>
  <sheetFormatPr baseColWidth="10" defaultColWidth="8.796875" defaultRowHeight="13.8"/>
  <cols>
    <col min="1" max="1" width="33" customWidth="1"/>
    <col min="2" max="4" width="16" customWidth="1"/>
    <col min="6" max="6" width="33" customWidth="1"/>
    <col min="7" max="8" width="14" customWidth="1"/>
  </cols>
  <sheetData>
    <row r="2" spans="1:8" ht="19.2">
      <c r="A2" s="8" t="s">
        <v>15</v>
      </c>
      <c r="B2" s="9"/>
      <c r="C2" s="9"/>
      <c r="D2" s="9"/>
    </row>
    <row r="3" spans="1:8">
      <c r="A3" s="12" t="s">
        <v>32</v>
      </c>
      <c r="B3" s="9"/>
      <c r="C3" s="9"/>
      <c r="D3" s="9"/>
    </row>
    <row r="5" spans="1:8">
      <c r="A5" s="1" t="s">
        <v>1</v>
      </c>
      <c r="B5" s="1" t="s">
        <v>2</v>
      </c>
      <c r="C5" s="1" t="s">
        <v>3</v>
      </c>
      <c r="D5" s="1" t="s">
        <v>4</v>
      </c>
      <c r="F5" s="5" t="s">
        <v>1</v>
      </c>
      <c r="G5" s="5" t="s">
        <v>5</v>
      </c>
      <c r="H5" s="5" t="s">
        <v>6</v>
      </c>
    </row>
    <row r="6" spans="1:8" ht="27" customHeight="1">
      <c r="A6" s="4" t="s">
        <v>16</v>
      </c>
      <c r="B6" s="2">
        <v>46251</v>
      </c>
      <c r="C6" s="2">
        <v>46257</v>
      </c>
      <c r="D6" s="3">
        <f t="shared" ref="D6:D13" si="0">C6-B6+1</f>
        <v>7</v>
      </c>
      <c r="F6" s="5" t="str">
        <f t="shared" ref="F6:F13" si="1">A6</f>
        <v>Parámetros del proceso</v>
      </c>
      <c r="G6" s="6">
        <f t="shared" ref="G6:G13" si="2">B6-MIN($B$6:$B$13)</f>
        <v>0</v>
      </c>
      <c r="H6" s="6">
        <f t="shared" ref="H6:H13" si="3">D6</f>
        <v>7</v>
      </c>
    </row>
    <row r="7" spans="1:8" ht="27" customHeight="1">
      <c r="A7" s="4" t="s">
        <v>17</v>
      </c>
      <c r="B7" s="2">
        <v>46258</v>
      </c>
      <c r="C7" s="2">
        <v>46264</v>
      </c>
      <c r="D7" s="3">
        <f t="shared" si="0"/>
        <v>7</v>
      </c>
      <c r="F7" s="5" t="str">
        <f t="shared" si="1"/>
        <v>Herramienta de simulación</v>
      </c>
      <c r="G7" s="6">
        <f t="shared" si="2"/>
        <v>7</v>
      </c>
      <c r="H7" s="6">
        <f t="shared" si="3"/>
        <v>7</v>
      </c>
    </row>
    <row r="8" spans="1:8" ht="27" customHeight="1">
      <c r="A8" s="4" t="s">
        <v>18</v>
      </c>
      <c r="B8" s="2">
        <v>46265</v>
      </c>
      <c r="C8" s="2">
        <v>46271</v>
      </c>
      <c r="D8" s="3">
        <f t="shared" si="0"/>
        <v>7</v>
      </c>
      <c r="F8" s="5" t="str">
        <f t="shared" si="1"/>
        <v>Diagrama y recursos</v>
      </c>
      <c r="G8" s="6">
        <f t="shared" si="2"/>
        <v>14</v>
      </c>
      <c r="H8" s="6">
        <f t="shared" si="3"/>
        <v>7</v>
      </c>
    </row>
    <row r="9" spans="1:8" ht="27" customHeight="1">
      <c r="A9" s="4" t="s">
        <v>19</v>
      </c>
      <c r="B9" s="2">
        <v>46272</v>
      </c>
      <c r="C9" s="2">
        <v>46278</v>
      </c>
      <c r="D9" s="3">
        <f t="shared" si="0"/>
        <v>7</v>
      </c>
      <c r="F9" s="5" t="str">
        <f t="shared" si="1"/>
        <v>Modelo inicial</v>
      </c>
      <c r="G9" s="6">
        <f t="shared" si="2"/>
        <v>21</v>
      </c>
      <c r="H9" s="6">
        <f t="shared" si="3"/>
        <v>7</v>
      </c>
    </row>
    <row r="10" spans="1:8" ht="27" customHeight="1">
      <c r="A10" s="4" t="s">
        <v>20</v>
      </c>
      <c r="B10" s="2">
        <v>46279</v>
      </c>
      <c r="C10" s="2">
        <v>46285</v>
      </c>
      <c r="D10" s="3">
        <f t="shared" si="0"/>
        <v>7</v>
      </c>
      <c r="F10" s="5" t="str">
        <f t="shared" si="1"/>
        <v>Modelo funcional y pruebas</v>
      </c>
      <c r="G10" s="6">
        <f t="shared" si="2"/>
        <v>28</v>
      </c>
      <c r="H10" s="6">
        <f t="shared" si="3"/>
        <v>7</v>
      </c>
    </row>
    <row r="11" spans="1:8" ht="27" customHeight="1">
      <c r="A11" s="4" t="s">
        <v>21</v>
      </c>
      <c r="B11" s="2">
        <v>46286</v>
      </c>
      <c r="C11" s="2">
        <v>46292</v>
      </c>
      <c r="D11" s="3">
        <f t="shared" si="0"/>
        <v>7</v>
      </c>
      <c r="F11" s="5" t="str">
        <f t="shared" si="1"/>
        <v>Escenario base</v>
      </c>
      <c r="G11" s="6">
        <f t="shared" si="2"/>
        <v>35</v>
      </c>
      <c r="H11" s="6">
        <f t="shared" si="3"/>
        <v>7</v>
      </c>
    </row>
    <row r="12" spans="1:8" ht="27" customHeight="1">
      <c r="A12" s="4" t="s">
        <v>22</v>
      </c>
      <c r="B12" s="2">
        <v>46293</v>
      </c>
      <c r="C12" s="2">
        <v>46299</v>
      </c>
      <c r="D12" s="3">
        <f t="shared" si="0"/>
        <v>7</v>
      </c>
      <c r="F12" s="5" t="str">
        <f t="shared" si="1"/>
        <v>Segundo escenario</v>
      </c>
      <c r="G12" s="6">
        <f t="shared" si="2"/>
        <v>42</v>
      </c>
      <c r="H12" s="6">
        <f t="shared" si="3"/>
        <v>7</v>
      </c>
    </row>
    <row r="13" spans="1:8" ht="27" customHeight="1">
      <c r="A13" s="4" t="s">
        <v>23</v>
      </c>
      <c r="B13" s="2">
        <v>46300</v>
      </c>
      <c r="C13" s="2">
        <v>46306</v>
      </c>
      <c r="D13" s="3">
        <f t="shared" si="0"/>
        <v>7</v>
      </c>
      <c r="F13" s="5" t="str">
        <f t="shared" si="1"/>
        <v>Análisis y reporte</v>
      </c>
      <c r="G13" s="6">
        <f t="shared" si="2"/>
        <v>49</v>
      </c>
      <c r="H13" s="6">
        <f t="shared" si="3"/>
        <v>7</v>
      </c>
    </row>
    <row r="16" spans="1:8">
      <c r="A16" s="13"/>
      <c r="B16" s="14"/>
      <c r="C16" s="14"/>
      <c r="D16" s="14"/>
    </row>
  </sheetData>
  <mergeCells count="3">
    <mergeCell ref="A2:D2"/>
    <mergeCell ref="A3:D3"/>
    <mergeCell ref="A16:D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2:H16"/>
  <sheetViews>
    <sheetView showGridLines="0" tabSelected="1" zoomScale="89" workbookViewId="0">
      <selection activeCell="B25" sqref="B25"/>
    </sheetView>
  </sheetViews>
  <sheetFormatPr baseColWidth="10" defaultColWidth="8.796875" defaultRowHeight="13.8"/>
  <cols>
    <col min="1" max="1" width="33" customWidth="1"/>
    <col min="2" max="4" width="16" customWidth="1"/>
    <col min="6" max="6" width="33" customWidth="1"/>
    <col min="7" max="8" width="14" customWidth="1"/>
  </cols>
  <sheetData>
    <row r="2" spans="1:8" ht="19.2">
      <c r="A2" s="8" t="s">
        <v>24</v>
      </c>
      <c r="B2" s="9"/>
      <c r="C2" s="9"/>
      <c r="D2" s="9"/>
    </row>
    <row r="3" spans="1:8">
      <c r="A3" s="10" t="s">
        <v>33</v>
      </c>
      <c r="B3" s="9"/>
      <c r="C3" s="9"/>
      <c r="D3" s="9"/>
    </row>
    <row r="5" spans="1:8">
      <c r="A5" s="1" t="s">
        <v>1</v>
      </c>
      <c r="B5" s="1" t="s">
        <v>2</v>
      </c>
      <c r="C5" s="1" t="s">
        <v>3</v>
      </c>
      <c r="D5" s="7" t="s">
        <v>4</v>
      </c>
      <c r="F5" s="5" t="s">
        <v>1</v>
      </c>
      <c r="G5" s="5" t="s">
        <v>5</v>
      </c>
      <c r="H5" s="5" t="s">
        <v>6</v>
      </c>
    </row>
    <row r="6" spans="1:8" ht="27" customHeight="1">
      <c r="A6" s="4" t="s">
        <v>25</v>
      </c>
      <c r="B6" s="2">
        <v>46251</v>
      </c>
      <c r="C6" s="2">
        <v>46257</v>
      </c>
      <c r="D6" s="3">
        <f t="shared" ref="D6:D12" si="0">C6-B6+1</f>
        <v>7</v>
      </c>
      <c r="F6" s="5" t="str">
        <f t="shared" ref="F6:F12" si="1">A6</f>
        <v>Diagrama y distribuciones</v>
      </c>
      <c r="G6" s="6">
        <f t="shared" ref="G6:G12" si="2">B6-MIN($B$6:$B$12)</f>
        <v>0</v>
      </c>
      <c r="H6" s="6">
        <f t="shared" ref="H6:H12" si="3">D6</f>
        <v>7</v>
      </c>
    </row>
    <row r="7" spans="1:8" ht="27" customHeight="1">
      <c r="A7" s="4" t="s">
        <v>26</v>
      </c>
      <c r="B7" s="2">
        <v>46258</v>
      </c>
      <c r="C7" s="2">
        <v>46264</v>
      </c>
      <c r="D7" s="3">
        <f t="shared" si="0"/>
        <v>7</v>
      </c>
      <c r="F7" s="5" t="str">
        <f t="shared" si="1"/>
        <v>Modelo lógico y herramienta</v>
      </c>
      <c r="G7" s="6">
        <f t="shared" si="2"/>
        <v>7</v>
      </c>
      <c r="H7" s="6">
        <f t="shared" si="3"/>
        <v>7</v>
      </c>
    </row>
    <row r="8" spans="1:8" ht="27" customHeight="1">
      <c r="A8" s="4" t="s">
        <v>27</v>
      </c>
      <c r="B8" s="2">
        <v>46265</v>
      </c>
      <c r="C8" s="2">
        <v>46271</v>
      </c>
      <c r="D8" s="3">
        <f t="shared" si="0"/>
        <v>7</v>
      </c>
      <c r="F8" s="5" t="str">
        <f t="shared" si="1"/>
        <v>Implementación inicial</v>
      </c>
      <c r="G8" s="6">
        <f t="shared" si="2"/>
        <v>14</v>
      </c>
      <c r="H8" s="6">
        <f t="shared" si="3"/>
        <v>7</v>
      </c>
    </row>
    <row r="9" spans="1:8" ht="27" customHeight="1">
      <c r="A9" s="4" t="s">
        <v>28</v>
      </c>
      <c r="B9" s="2">
        <v>46272</v>
      </c>
      <c r="C9" s="2">
        <v>46278</v>
      </c>
      <c r="D9" s="3">
        <f t="shared" si="0"/>
        <v>7</v>
      </c>
      <c r="F9" s="5" t="str">
        <f t="shared" si="1"/>
        <v>Implementación completa</v>
      </c>
      <c r="G9" s="6">
        <f t="shared" si="2"/>
        <v>21</v>
      </c>
      <c r="H9" s="6">
        <f t="shared" si="3"/>
        <v>7</v>
      </c>
    </row>
    <row r="10" spans="1:8" ht="27" customHeight="1">
      <c r="A10" s="4" t="s">
        <v>29</v>
      </c>
      <c r="B10" s="2">
        <v>46279</v>
      </c>
      <c r="C10" s="2">
        <v>46285</v>
      </c>
      <c r="D10" s="3">
        <f t="shared" si="0"/>
        <v>7</v>
      </c>
      <c r="F10" s="5" t="str">
        <f t="shared" si="1"/>
        <v>Pruebas piloto</v>
      </c>
      <c r="G10" s="6">
        <f t="shared" si="2"/>
        <v>28</v>
      </c>
      <c r="H10" s="6">
        <f t="shared" si="3"/>
        <v>7</v>
      </c>
    </row>
    <row r="11" spans="1:8" ht="27" customHeight="1">
      <c r="A11" s="4" t="s">
        <v>30</v>
      </c>
      <c r="B11" s="2">
        <v>46286</v>
      </c>
      <c r="C11" s="2">
        <v>46292</v>
      </c>
      <c r="D11" s="3">
        <f t="shared" si="0"/>
        <v>7</v>
      </c>
      <c r="F11" s="5" t="str">
        <f t="shared" si="1"/>
        <v>Corridas y escenario alternativo</v>
      </c>
      <c r="G11" s="6">
        <f t="shared" si="2"/>
        <v>35</v>
      </c>
      <c r="H11" s="6">
        <f t="shared" si="3"/>
        <v>7</v>
      </c>
    </row>
    <row r="12" spans="1:8" ht="27" customHeight="1">
      <c r="A12" s="4" t="s">
        <v>31</v>
      </c>
      <c r="B12" s="2">
        <v>46293</v>
      </c>
      <c r="C12" s="2">
        <v>46306</v>
      </c>
      <c r="D12" s="3">
        <f t="shared" si="0"/>
        <v>14</v>
      </c>
      <c r="F12" s="5" t="str">
        <f t="shared" si="1"/>
        <v>Análisis y reporte final</v>
      </c>
      <c r="G12" s="6">
        <f t="shared" si="2"/>
        <v>42</v>
      </c>
      <c r="H12" s="6">
        <f t="shared" si="3"/>
        <v>14</v>
      </c>
    </row>
    <row r="16" spans="1:8">
      <c r="A16" s="11"/>
      <c r="B16" s="9"/>
      <c r="C16" s="9"/>
      <c r="D16" s="9"/>
    </row>
  </sheetData>
  <mergeCells count="3">
    <mergeCell ref="A2:D2"/>
    <mergeCell ref="A3:D3"/>
    <mergeCell ref="A16: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Brandon</vt:lpstr>
      <vt:lpstr>Josefina</vt:lpstr>
      <vt:lpstr>Roberto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aquino villanueva</dc:creator>
  <cp:lastModifiedBy>rafael aquino villanueva</cp:lastModifiedBy>
  <dcterms:modified xsi:type="dcterms:W3CDTF">2026-09-16T01:49:53Z</dcterms:modified>
</cp:coreProperties>
</file>